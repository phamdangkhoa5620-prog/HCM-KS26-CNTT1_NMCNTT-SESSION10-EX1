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_dich" sheetId="1" state="visible" r:id="rId1"/>
    <sheet xmlns:r="http://schemas.openxmlformats.org/officeDocument/2006/relationships" name="Danh_muc" sheetId="2" state="visible" r:id="rId2"/>
    <sheet xmlns:r="http://schemas.openxmlformats.org/officeDocument/2006/relationships" name="Tong_hop_phi" sheetId="3" state="visible" r:id="rId3"/>
  </sheets>
  <definedNames>
    <definedName name="_xlnm._FilterDatabase" localSheetId="0" hidden="1">'Giao_dich'!$A$1:$I$11</definedName>
    <definedName name="_xlnm._FilterDatabase" localSheetId="1" hidden="1">'Danh_muc'!$A$1:$B$6</definedName>
    <definedName name="_xlnm._FilterDatabase" localSheetId="2" hidden="1">'Tong_hop_phi'!$A$1:$B$6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3B50"/>
      </patternFill>
    </fill>
    <fill>
      <patternFill patternType="solid">
        <fgColor rgb="00D9EEF0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ngGiaoDich" displayName="BangGiaoDich" ref="A1:I11" headerRowCount="1">
  <autoFilter ref="A1:I11"/>
  <tableColumns count="9">
    <tableColumn id="1" name="Mã giao dịch"/>
    <tableColumn id="2" name="Mã người dùng"/>
    <tableColumn id="3" name="Số tiền (VND)"/>
    <tableColumn id="4" name="Ngày giao dịch"/>
    <tableColumn id="5" name="Trạng thái"/>
    <tableColumn id="6" name="Mã người dùng sạch"/>
    <tableColumn id="7" name="Tên người dùng (VLOOKUP)"/>
    <tableColumn id="8" name="Phí đối tác (VND)"/>
    <tableColumn id="9" name="Tiền thực nhận (VND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7" customWidth="1" min="4" max="4"/>
    <col width="14" customWidth="1" min="5" max="5"/>
    <col width="21" customWidth="1" min="6" max="6"/>
    <col width="34" customWidth="1" min="7" max="7"/>
    <col width="20" customWidth="1" min="8" max="8"/>
    <col width="23" customWidth="1" min="9" max="9"/>
  </cols>
  <sheetData>
    <row r="1">
      <c r="A1" s="1" t="inlineStr">
        <is>
          <t>Mã giao dịch</t>
        </is>
      </c>
      <c r="B1" s="1" t="inlineStr">
        <is>
          <t>Mã người dùng</t>
        </is>
      </c>
      <c r="C1" s="1" t="inlineStr">
        <is>
          <t>Số tiền (VND)</t>
        </is>
      </c>
      <c r="D1" s="1" t="inlineStr">
        <is>
          <t>Ngày giao dịch</t>
        </is>
      </c>
      <c r="E1" s="1" t="inlineStr">
        <is>
          <t>Trạng thái</t>
        </is>
      </c>
      <c r="F1" s="1" t="inlineStr">
        <is>
          <t>Mã người dùng sạch</t>
        </is>
      </c>
      <c r="G1" s="1" t="inlineStr">
        <is>
          <t>Tên người dùng (VLOOKUP)</t>
        </is>
      </c>
      <c r="H1" s="1" t="inlineStr">
        <is>
          <t>Phí đối tác (VND)</t>
        </is>
      </c>
      <c r="I1" s="1" t="inlineStr">
        <is>
          <t>Tiền thực nhận (VND)</t>
        </is>
      </c>
    </row>
    <row r="2">
      <c r="A2" s="2" t="inlineStr">
        <is>
          <t xml:space="preserve">TX001 </t>
        </is>
      </c>
      <c r="B2" s="2" t="inlineStr">
        <is>
          <t xml:space="preserve"> U001</t>
        </is>
      </c>
      <c r="C2" s="3" t="n">
        <v>150000</v>
      </c>
      <c r="D2" s="2" t="inlineStr">
        <is>
          <t>2026-10-01</t>
        </is>
      </c>
      <c r="E2" s="2" t="inlineStr">
        <is>
          <t>Thành công</t>
        </is>
      </c>
      <c r="F2" s="2">
        <f>TRIM(B2)</f>
        <v/>
      </c>
      <c r="G2" s="2">
        <f>IFERROR(VLOOKUP(F2,Danh_muc!$A$2:$B$6,2,FALSE),"Không tìm thấy")</f>
        <v/>
      </c>
      <c r="H2" s="3" t="n">
        <v>1500</v>
      </c>
      <c r="I2" s="3">
        <f>C2-H2</f>
        <v/>
      </c>
    </row>
    <row r="3">
      <c r="A3" s="2" t="inlineStr">
        <is>
          <t>TX002</t>
        </is>
      </c>
      <c r="B3" s="2" t="inlineStr">
        <is>
          <t xml:space="preserve">U002 </t>
        </is>
      </c>
      <c r="C3" s="3" t="n">
        <v>80000</v>
      </c>
      <c r="D3" s="2" t="inlineStr">
        <is>
          <t>2026-10-02</t>
        </is>
      </c>
      <c r="E3" s="2" t="inlineStr">
        <is>
          <t>Thành công</t>
        </is>
      </c>
      <c r="F3" s="2">
        <f>TRIM(B3)</f>
        <v/>
      </c>
      <c r="G3" s="2">
        <f>IFERROR(VLOOKUP(F3,Danh_muc!$A$2:$B$6,2,FALSE),"Không tìm thấy")</f>
        <v/>
      </c>
      <c r="H3" s="3" t="n">
        <v>800</v>
      </c>
      <c r="I3" s="3">
        <f>C3-H3</f>
        <v/>
      </c>
    </row>
    <row r="4">
      <c r="A4" s="2" t="inlineStr">
        <is>
          <t xml:space="preserve"> TX003</t>
        </is>
      </c>
      <c r="B4" s="2" t="inlineStr">
        <is>
          <t>U003</t>
        </is>
      </c>
      <c r="C4" s="3" t="n">
        <v>250000</v>
      </c>
      <c r="D4" s="2" t="inlineStr">
        <is>
          <t>2026-10-03</t>
        </is>
      </c>
      <c r="E4" s="2" t="inlineStr">
        <is>
          <t>Thành công</t>
        </is>
      </c>
      <c r="F4" s="2">
        <f>TRIM(B4)</f>
        <v/>
      </c>
      <c r="G4" s="2">
        <f>IFERROR(VLOOKUP(F4,Danh_muc!$A$2:$B$6,2,FALSE),"Không tìm thấy")</f>
        <v/>
      </c>
      <c r="H4" s="3" t="n">
        <v>2500</v>
      </c>
      <c r="I4" s="3">
        <f>C4-H4</f>
        <v/>
      </c>
    </row>
    <row r="5">
      <c r="A5" s="2" t="inlineStr">
        <is>
          <t>TX004</t>
        </is>
      </c>
      <c r="B5" s="2" t="inlineStr">
        <is>
          <t xml:space="preserve"> U004 </t>
        </is>
      </c>
      <c r="C5" s="3" t="n">
        <v>120000</v>
      </c>
      <c r="D5" s="2" t="inlineStr">
        <is>
          <t>2026-10-04</t>
        </is>
      </c>
      <c r="E5" s="2" t="inlineStr">
        <is>
          <t>Đang xử lý</t>
        </is>
      </c>
      <c r="F5" s="2">
        <f>TRIM(B5)</f>
        <v/>
      </c>
      <c r="G5" s="2">
        <f>IFERROR(VLOOKUP(F5,Danh_muc!$A$2:$B$6,2,FALSE),"Không tìm thấy")</f>
        <v/>
      </c>
      <c r="H5" s="3" t="n">
        <v>1200</v>
      </c>
      <c r="I5" s="3">
        <f>C5-H5</f>
        <v/>
      </c>
    </row>
    <row r="6">
      <c r="A6" s="2" t="inlineStr">
        <is>
          <t>TX005</t>
        </is>
      </c>
      <c r="B6" s="2" t="inlineStr">
        <is>
          <t>U001</t>
        </is>
      </c>
      <c r="C6" s="3" t="n">
        <v>50000</v>
      </c>
      <c r="D6" s="2" t="inlineStr">
        <is>
          <t>2026-10-05</t>
        </is>
      </c>
      <c r="E6" s="2" t="inlineStr">
        <is>
          <t>Thành công</t>
        </is>
      </c>
      <c r="F6" s="2">
        <f>TRIM(B6)</f>
        <v/>
      </c>
      <c r="G6" s="2">
        <f>IFERROR(VLOOKUP(F6,Danh_muc!$A$2:$B$6,2,FALSE),"Không tìm thấy")</f>
        <v/>
      </c>
      <c r="H6" s="3" t="n">
        <v>500</v>
      </c>
      <c r="I6" s="3">
        <f>C6-H6</f>
        <v/>
      </c>
    </row>
    <row r="7">
      <c r="A7" s="2" t="inlineStr">
        <is>
          <t>TX006</t>
        </is>
      </c>
      <c r="B7" s="2" t="inlineStr">
        <is>
          <t xml:space="preserve">U005 </t>
        </is>
      </c>
      <c r="C7" s="3" t="n">
        <v>300000</v>
      </c>
      <c r="D7" s="2" t="inlineStr">
        <is>
          <t>2026-10-06</t>
        </is>
      </c>
      <c r="E7" s="2" t="inlineStr">
        <is>
          <t>Thành công</t>
        </is>
      </c>
      <c r="F7" s="2">
        <f>TRIM(B7)</f>
        <v/>
      </c>
      <c r="G7" s="2">
        <f>IFERROR(VLOOKUP(F7,Danh_muc!$A$2:$B$6,2,FALSE),"Không tìm thấy")</f>
        <v/>
      </c>
      <c r="H7" s="3" t="n">
        <v>3000</v>
      </c>
      <c r="I7" s="3">
        <f>C7-H7</f>
        <v/>
      </c>
    </row>
    <row r="8">
      <c r="A8" s="2" t="inlineStr">
        <is>
          <t>TX007</t>
        </is>
      </c>
      <c r="B8" s="2" t="inlineStr">
        <is>
          <t>U002</t>
        </is>
      </c>
      <c r="C8" s="3" t="n">
        <v>95000</v>
      </c>
      <c r="D8" s="2" t="inlineStr">
        <is>
          <t>2026-10-07</t>
        </is>
      </c>
      <c r="E8" s="2" t="inlineStr">
        <is>
          <t>Thành công</t>
        </is>
      </c>
      <c r="F8" s="2">
        <f>TRIM(B8)</f>
        <v/>
      </c>
      <c r="G8" s="2">
        <f>IFERROR(VLOOKUP(F8,Danh_muc!$A$2:$B$6,2,FALSE),"Không tìm thấy")</f>
        <v/>
      </c>
      <c r="H8" s="3" t="n">
        <v>950</v>
      </c>
      <c r="I8" s="3">
        <f>C8-H8</f>
        <v/>
      </c>
    </row>
    <row r="9">
      <c r="A9" s="2" t="inlineStr">
        <is>
          <t xml:space="preserve">TX008 </t>
        </is>
      </c>
      <c r="B9" s="2" t="inlineStr">
        <is>
          <t xml:space="preserve">U003 </t>
        </is>
      </c>
      <c r="C9" s="3" t="n">
        <v>175000</v>
      </c>
      <c r="D9" s="2" t="inlineStr">
        <is>
          <t>2026-10-08</t>
        </is>
      </c>
      <c r="E9" s="2" t="inlineStr">
        <is>
          <t>Thành công</t>
        </is>
      </c>
      <c r="F9" s="2">
        <f>TRIM(B9)</f>
        <v/>
      </c>
      <c r="G9" s="2">
        <f>IFERROR(VLOOKUP(F9,Danh_muc!$A$2:$B$6,2,FALSE),"Không tìm thấy")</f>
        <v/>
      </c>
      <c r="H9" s="3" t="n">
        <v>1750</v>
      </c>
      <c r="I9" s="3">
        <f>C9-H9</f>
        <v/>
      </c>
    </row>
    <row r="10">
      <c r="A10" s="2" t="inlineStr">
        <is>
          <t>TX009</t>
        </is>
      </c>
      <c r="B10" s="2" t="inlineStr">
        <is>
          <t>U004</t>
        </is>
      </c>
      <c r="C10" s="3" t="n">
        <v>65000</v>
      </c>
      <c r="D10" s="2" t="inlineStr">
        <is>
          <t>2026-10-09</t>
        </is>
      </c>
      <c r="E10" s="2" t="inlineStr">
        <is>
          <t>Thất bại</t>
        </is>
      </c>
      <c r="F10" s="2">
        <f>TRIM(B10)</f>
        <v/>
      </c>
      <c r="G10" s="2">
        <f>IFERROR(VLOOKUP(F10,Danh_muc!$A$2:$B$6,2,FALSE),"Không tìm thấy")</f>
        <v/>
      </c>
      <c r="H10" s="3" t="n">
        <v>0</v>
      </c>
      <c r="I10" s="3">
        <f>C10-H10</f>
        <v/>
      </c>
    </row>
    <row r="11">
      <c r="A11" s="2" t="inlineStr">
        <is>
          <t>TX010</t>
        </is>
      </c>
      <c r="B11" s="2" t="inlineStr">
        <is>
          <t>U005</t>
        </is>
      </c>
      <c r="C11" s="3" t="n">
        <v>210000</v>
      </c>
      <c r="D11" s="2" t="inlineStr">
        <is>
          <t>2026-10-10</t>
        </is>
      </c>
      <c r="E11" s="2" t="inlineStr">
        <is>
          <t>Thành công</t>
        </is>
      </c>
      <c r="F11" s="2">
        <f>TRIM(B11)</f>
        <v/>
      </c>
      <c r="G11" s="2">
        <f>IFERROR(VLOOKUP(F11,Danh_muc!$A$2:$B$6,2,FALSE),"Không tìm thấy")</f>
        <v/>
      </c>
      <c r="H11" s="3" t="n">
        <v>2100</v>
      </c>
      <c r="I11" s="3">
        <f>C11-H11</f>
        <v/>
      </c>
    </row>
  </sheetData>
  <autoFilter ref="A1:I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Mã người dùng</t>
        </is>
      </c>
      <c r="B1" s="1" t="inlineStr">
        <is>
          <t>Tên người dùng</t>
        </is>
      </c>
    </row>
    <row r="2">
      <c r="A2" s="2" t="inlineStr">
        <is>
          <t>U001</t>
        </is>
      </c>
      <c r="B2" s="2" t="inlineStr">
        <is>
          <t>Nguyễn Minh Anh</t>
        </is>
      </c>
    </row>
    <row r="3">
      <c r="A3" s="2" t="inlineStr">
        <is>
          <t>U002</t>
        </is>
      </c>
      <c r="B3" s="2" t="inlineStr">
        <is>
          <t>Trần Gia Bảo</t>
        </is>
      </c>
    </row>
    <row r="4">
      <c r="A4" s="2" t="inlineStr">
        <is>
          <t>U003</t>
        </is>
      </c>
      <c r="B4" s="2" t="inlineStr">
        <is>
          <t>Lê Hoàng Phúc</t>
        </is>
      </c>
    </row>
    <row r="5">
      <c r="A5" s="2" t="inlineStr">
        <is>
          <t>U004</t>
        </is>
      </c>
      <c r="B5" s="2" t="inlineStr">
        <is>
          <t>Phạm Khánh Linh</t>
        </is>
      </c>
    </row>
    <row r="6">
      <c r="A6" s="2" t="inlineStr">
        <is>
          <t>U005</t>
        </is>
      </c>
      <c r="B6" s="2" t="inlineStr">
        <is>
          <t>Võ Nhật Nam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Chỉ tiêu</t>
        </is>
      </c>
      <c r="B1" s="1" t="inlineStr">
        <is>
          <t>Giá trị</t>
        </is>
      </c>
    </row>
    <row r="2">
      <c r="A2" s="2" t="inlineStr">
        <is>
          <t>Tổng giá trị giao dịch</t>
        </is>
      </c>
      <c r="B2" s="4">
        <f>SUM(Giao_dich!C2:C11)</f>
        <v/>
      </c>
    </row>
    <row r="3">
      <c r="A3" s="2" t="inlineStr">
        <is>
          <t>Tổng phí đối tác</t>
        </is>
      </c>
      <c r="B3" s="4">
        <f>SUM(Giao_dich!H2:H11)</f>
        <v/>
      </c>
    </row>
    <row r="4">
      <c r="A4" s="2" t="inlineStr">
        <is>
          <t>Tiền thực nhận sau phí</t>
        </is>
      </c>
      <c r="B4" s="4">
        <f>SUM(Giao_dich!I2:I11)</f>
        <v/>
      </c>
    </row>
    <row r="5">
      <c r="A5" s="2" t="inlineStr">
        <is>
          <t>Số giao dịch thành công</t>
        </is>
      </c>
      <c r="B5" s="4">
        <f>COUNTIF(Giao_dich!E2:E11,"Thành công")</f>
        <v/>
      </c>
    </row>
    <row r="6">
      <c r="A6" s="2" t="inlineStr">
        <is>
          <t>Lưu ý</t>
        </is>
      </c>
      <c r="B6" s="2" t="inlineStr">
        <is>
          <t>Số liệu minh họa phục vụ bài tập; cần thay bằng dữ liệu đối tác thực tế.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2026-10-25T13:06:15Z</dcterms:created>
  <dcterms:modified xmlns:dcterms="http://purl.org/dc/terms/" xmlns:xsi="http://www.w3.org/2001/XMLSchema-instance" xsi:type="dcterms:W3CDTF">2026-10-25T13:06:15Z</dcterms:modified>
</cp:coreProperties>
</file>